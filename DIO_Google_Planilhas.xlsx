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agina2" sheetId="2" r:id="rId6"/>
  </sheets>
  <definedNames>
    <definedName name="qtd_anos">'Página1'!$D$20</definedName>
    <definedName name="Rendimento_Carteira">'Página1'!$D$15</definedName>
    <definedName name="aporte">'Página1'!$D$19</definedName>
    <definedName name="sugestao_investimento">'Página1'!$D$16</definedName>
    <definedName name="taxa_mensal">'Página1'!$D$21</definedName>
  </definedNames>
  <calcPr/>
</workbook>
</file>

<file path=xl/sharedStrings.xml><?xml version="1.0" encoding="utf-8"?>
<sst xmlns="http://schemas.openxmlformats.org/spreadsheetml/2006/main" count="69" uniqueCount="34">
  <si>
    <t>CONFIGURAÇÕES</t>
  </si>
  <si>
    <t>Sálario</t>
  </si>
  <si>
    <t>Rendimento Carteira</t>
  </si>
  <si>
    <t>Sugestão de investimento</t>
  </si>
  <si>
    <t>INVESTIMENTO MENSAL</t>
  </si>
  <si>
    <t xml:space="preserve">      Quanto investir por mês?</t>
  </si>
  <si>
    <t xml:space="preserve">      Por Quantos Anos?</t>
  </si>
  <si>
    <t xml:space="preserve">      Taxa de Reandimento mensal? </t>
  </si>
  <si>
    <t xml:space="preserve">      Patrimoio acumulado?</t>
  </si>
  <si>
    <t xml:space="preserve">      Dividendos mensais?</t>
  </si>
  <si>
    <t>Cenários</t>
  </si>
  <si>
    <t>Dividendo</t>
  </si>
  <si>
    <t xml:space="preserve">      Quanto em 2 Anos?</t>
  </si>
  <si>
    <t xml:space="preserve">      Quanto em 10 Anos?</t>
  </si>
  <si>
    <t xml:space="preserve">      Quanto em 20 Anos?</t>
  </si>
  <si>
    <t xml:space="preserve">      Quanto em 30 Anos?</t>
  </si>
  <si>
    <t>Perfil</t>
  </si>
  <si>
    <t>Agressivo</t>
  </si>
  <si>
    <t>VALOR A SWE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</si>
  <si>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</si>
  <si>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</si>
  <si>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</si>
  <si>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</si>
  <si>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</si>
  <si>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</si>
  <si>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</si>
  <si>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</si>
  <si>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</si>
  <si>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</si>
  <si>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PERFIL</t>
  </si>
  <si>
    <t>%</t>
  </si>
  <si>
    <t>Conservador</t>
  </si>
  <si>
    <t>HÍBRIDOS</t>
  </si>
  <si>
    <t>Moderado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</si>
</sst>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0">
    <font>
      <sz val="10.0"/>
      <color rgb="FF000000"/>
      <name val="Arial"/>
      <scheme val="minor"/>
    </font>
    <font>
      <b/>
      <sz val="17.0"/>
      <color rgb="FFFFFFFF"/>
      <name val="Arial"/>
    </font>
    <font/>
    <font>
      <color rgb="FF999999"/>
      <name val="Arial"/>
    </font>
    <font>
      <color theme="1"/>
      <name val="Arial"/>
    </font>
    <font>
      <b/>
      <sz val="18.0"/>
      <color rgb="FFFFFFFF"/>
      <name val="Arial"/>
    </font>
    <font>
      <b/>
      <color theme="1"/>
      <name val="Arial"/>
    </font>
    <font>
      <b/>
      <sz val="13.0"/>
      <color rgb="FFFFFFFF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0">
    <border/>
    <border>
      <left style="thin">
        <color rgb="FF000000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000000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000000"/>
      </top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000000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999999"/>
      </top>
      <bottom style="thin">
        <color rgb="FF000000"/>
      </bottom>
    </border>
    <border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00000"/>
      </bottom>
    </border>
    <border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/>
    </xf>
    <xf borderId="4" fillId="0" fontId="2" numFmtId="0" xfId="0" applyBorder="1" applyFont="1"/>
    <xf borderId="5" fillId="0" fontId="3" numFmtId="164" xfId="0" applyAlignment="1" applyBorder="1" applyFont="1" applyNumberFormat="1">
      <alignment horizontal="left" readingOrder="0"/>
    </xf>
    <xf borderId="5" fillId="0" fontId="3" numFmtId="10" xfId="0" applyAlignment="1" applyBorder="1" applyFont="1" applyNumberFormat="1">
      <alignment horizontal="left" readingOrder="0"/>
    </xf>
    <xf borderId="5" fillId="0" fontId="3" numFmtId="164" xfId="0" applyAlignment="1" applyBorder="1" applyFont="1" applyNumberFormat="1">
      <alignment horizontal="left"/>
    </xf>
    <xf borderId="0" fillId="0" fontId="4" numFmtId="0" xfId="0" applyFont="1"/>
    <xf borderId="6" fillId="4" fontId="5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4" numFmtId="0" xfId="0" applyAlignment="1" applyBorder="1" applyFont="1">
      <alignment readingOrder="0"/>
    </xf>
    <xf borderId="10" fillId="0" fontId="2" numFmtId="0" xfId="0" applyBorder="1" applyFont="1"/>
    <xf borderId="11" fillId="0" fontId="4" numFmtId="164" xfId="0" applyAlignment="1" applyBorder="1" applyFont="1" applyNumberFormat="1">
      <alignment horizontal="center" readingOrder="0"/>
    </xf>
    <xf borderId="11" fillId="0" fontId="4" numFmtId="0" xfId="0" applyAlignment="1" applyBorder="1" applyFont="1">
      <alignment horizontal="center" readingOrder="0"/>
    </xf>
    <xf borderId="11" fillId="0" fontId="4" numFmtId="10" xfId="0" applyAlignment="1" applyBorder="1" applyFont="1" applyNumberFormat="1">
      <alignment horizontal="center" readingOrder="0"/>
    </xf>
    <xf borderId="9" fillId="5" fontId="6" numFmtId="0" xfId="0" applyAlignment="1" applyBorder="1" applyFill="1" applyFont="1">
      <alignment readingOrder="0"/>
    </xf>
    <xf borderId="11" fillId="5" fontId="6" numFmtId="164" xfId="0" applyAlignment="1" applyBorder="1" applyFont="1" applyNumberFormat="1">
      <alignment horizontal="center"/>
    </xf>
    <xf borderId="12" fillId="5" fontId="6" numFmtId="0" xfId="0" applyAlignment="1" applyBorder="1" applyFont="1">
      <alignment readingOrder="0"/>
    </xf>
    <xf borderId="13" fillId="0" fontId="2" numFmtId="0" xfId="0" applyBorder="1" applyFont="1"/>
    <xf borderId="14" fillId="5" fontId="6" numFmtId="164" xfId="0" applyAlignment="1" applyBorder="1" applyFont="1" applyNumberFormat="1">
      <alignment horizontal="center"/>
    </xf>
    <xf borderId="6" fillId="4" fontId="5" numFmtId="0" xfId="0" applyAlignment="1" applyBorder="1" applyFont="1">
      <alignment horizontal="center" readingOrder="0"/>
    </xf>
    <xf borderId="15" fillId="0" fontId="2" numFmtId="0" xfId="0" applyBorder="1" applyFont="1"/>
    <xf borderId="16" fillId="4" fontId="7" numFmtId="0" xfId="0" applyAlignment="1" applyBorder="1" applyFont="1">
      <alignment horizontal="center" readingOrder="0" vertical="center"/>
    </xf>
    <xf borderId="17" fillId="5" fontId="4" numFmtId="0" xfId="0" applyAlignment="1" applyBorder="1" applyFont="1">
      <alignment horizontal="left" readingOrder="0" vertical="center"/>
    </xf>
    <xf borderId="18" fillId="5" fontId="4" numFmtId="164" xfId="0" applyAlignment="1" applyBorder="1" applyFont="1" applyNumberFormat="1">
      <alignment horizontal="center"/>
    </xf>
    <xf borderId="11" fillId="5" fontId="4" numFmtId="164" xfId="0" applyAlignment="1" applyBorder="1" applyFont="1" applyNumberFormat="1">
      <alignment horizontal="center"/>
    </xf>
    <xf borderId="17" fillId="5" fontId="8" numFmtId="0" xfId="0" applyAlignment="1" applyBorder="1" applyFont="1">
      <alignment horizontal="left" readingOrder="0" vertical="center"/>
    </xf>
    <xf borderId="18" fillId="5" fontId="8" numFmtId="164" xfId="0" applyAlignment="1" applyBorder="1" applyFont="1" applyNumberFormat="1">
      <alignment horizontal="center"/>
    </xf>
    <xf borderId="11" fillId="5" fontId="8" numFmtId="164" xfId="0" applyAlignment="1" applyBorder="1" applyFont="1" applyNumberFormat="1">
      <alignment horizontal="center"/>
    </xf>
    <xf borderId="0" fillId="6" fontId="8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8" numFmtId="164" xfId="0" applyAlignment="1" applyFont="1" applyNumberFormat="1">
      <alignment horizontal="center" readingOrder="0"/>
    </xf>
    <xf borderId="0" fillId="7" fontId="9" numFmtId="0" xfId="0" applyAlignment="1" applyFill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9" xfId="0" applyAlignment="1" applyFont="1" applyNumberFormat="1">
      <alignment horizontal="center" readingOrder="0"/>
    </xf>
    <xf borderId="0" fillId="0" fontId="8" numFmtId="164" xfId="0" applyAlignment="1" applyFont="1" applyNumberFormat="1">
      <alignment horizontal="center"/>
    </xf>
    <xf borderId="0" fillId="7" fontId="9" numFmtId="0" xfId="0" applyFont="1"/>
    <xf borderId="0" fillId="7" fontId="9" numFmtId="10" xfId="0" applyFont="1" applyNumberFormat="1"/>
    <xf borderId="0" fillId="7" fontId="9" numFmtId="164" xfId="0" applyAlignment="1" applyFont="1" applyNumberFormat="1">
      <alignment horizontal="center"/>
    </xf>
    <xf borderId="0" fillId="7" fontId="9" numFmtId="0" xfId="0" applyAlignment="1" applyFont="1">
      <alignment horizontal="center" readingOrder="0"/>
    </xf>
    <xf borderId="0" fillId="0" fontId="8" numFmtId="9" xfId="0" applyFont="1" applyNumberFormat="1"/>
    <xf borderId="19" fillId="0" fontId="8" numFmtId="0" xfId="0" applyAlignment="1" applyBorder="1" applyFont="1">
      <alignment horizontal="center" readingOrder="0"/>
    </xf>
    <xf borderId="19" fillId="0" fontId="8" numFmtId="9" xfId="0" applyAlignment="1" applyBorder="1" applyFont="1" applyNumberFormat="1">
      <alignment horizontal="center" readingOrder="0"/>
    </xf>
    <xf borderId="0" fillId="8" fontId="8" numFmtId="0" xfId="0" applyAlignment="1" applyFill="1" applyFont="1">
      <alignment horizontal="center" readingOrder="0"/>
    </xf>
    <xf borderId="0" fillId="7" fontId="9" numFmtId="9" xfId="0" applyAlignment="1" applyFont="1" applyNumberFormat="1">
      <alignment horizontal="center" readingOrder="0"/>
    </xf>
    <xf borderId="19" fillId="8" fontId="8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PERCENTUAL SUGERIDO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'Página1'!$C$38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'Página1'!$B$39:$B$44</c:f>
            </c:strRef>
          </c:cat>
          <c:val>
            <c:numRef>
              <c:f>'Página1'!$C$39:$C$44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45</xdr:row>
      <xdr:rowOff>171450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485775</xdr:colOff>
      <xdr:row>0</xdr:row>
      <xdr:rowOff>0</xdr:rowOff>
    </xdr:from>
    <xdr:ext cx="6781800" cy="2266950"/>
    <xdr:pic>
      <xdr:nvPicPr>
        <xdr:cNvPr id="0" name="image1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29.75"/>
    <col customWidth="1" min="3" max="3" width="33.25"/>
    <col customWidth="1" min="4" max="4" width="12.0"/>
    <col customWidth="1" min="5" max="5" width="20.38"/>
    <col hidden="1" min="7" max="26" width="12.63"/>
  </cols>
  <sheetData>
    <row r="13">
      <c r="B13" s="1" t="s">
        <v>0</v>
      </c>
      <c r="C13" s="2"/>
      <c r="D13" s="3"/>
    </row>
    <row r="14">
      <c r="B14" s="4" t="s">
        <v>1</v>
      </c>
      <c r="C14" s="5"/>
      <c r="D14" s="6">
        <v>4200.0</v>
      </c>
    </row>
    <row r="15">
      <c r="B15" s="4" t="s">
        <v>2</v>
      </c>
      <c r="C15" s="5"/>
      <c r="D15" s="7">
        <v>0.006</v>
      </c>
    </row>
    <row r="16">
      <c r="B16" s="4" t="s">
        <v>3</v>
      </c>
      <c r="C16" s="5"/>
      <c r="D16" s="8">
        <f>D14*30%</f>
        <v>1260</v>
      </c>
    </row>
    <row r="17">
      <c r="B17" s="9"/>
      <c r="C17" s="9"/>
      <c r="D17" s="9"/>
    </row>
    <row r="18" ht="39.75" customHeight="1">
      <c r="B18" s="10" t="s">
        <v>4</v>
      </c>
      <c r="C18" s="11"/>
      <c r="D18" s="12"/>
    </row>
    <row r="19" ht="17.25" customHeight="1">
      <c r="B19" s="13" t="s">
        <v>5</v>
      </c>
      <c r="C19" s="14"/>
      <c r="D19" s="15">
        <v>200.0</v>
      </c>
    </row>
    <row r="20" ht="17.25" customHeight="1">
      <c r="B20" s="13" t="s">
        <v>6</v>
      </c>
      <c r="C20" s="14"/>
      <c r="D20" s="16">
        <v>5.0</v>
      </c>
    </row>
    <row r="21" ht="17.25" customHeight="1">
      <c r="B21" s="13" t="s">
        <v>7</v>
      </c>
      <c r="C21" s="14"/>
      <c r="D21" s="17">
        <v>0.01079</v>
      </c>
    </row>
    <row r="22" ht="17.25" customHeight="1">
      <c r="B22" s="18" t="s">
        <v>8</v>
      </c>
      <c r="C22" s="14"/>
      <c r="D22" s="19">
        <f>FV(taxa_mensal,qtd_anos*12,aporte*-1)</f>
        <v>16755.3828</v>
      </c>
    </row>
    <row r="23" ht="17.25" customHeight="1">
      <c r="B23" s="20" t="s">
        <v>9</v>
      </c>
      <c r="C23" s="21"/>
      <c r="D23" s="22">
        <f>D22*0.6%</f>
        <v>100.5322968</v>
      </c>
    </row>
    <row r="24">
      <c r="B24" s="9"/>
      <c r="C24" s="9"/>
      <c r="D24" s="9"/>
    </row>
    <row r="25" ht="32.25" customHeight="1">
      <c r="B25" s="23" t="s">
        <v>10</v>
      </c>
      <c r="C25" s="24"/>
      <c r="D25" s="25" t="s">
        <v>11</v>
      </c>
    </row>
    <row r="26">
      <c r="B26" s="26" t="s">
        <v>12</v>
      </c>
      <c r="C26" s="27">
        <f>FV(D21,2*12,D19*-1)</f>
        <v>5445.52546</v>
      </c>
      <c r="D26" s="28">
        <f>C26*Rendimento_Carteira</f>
        <v>32.67315276</v>
      </c>
    </row>
    <row r="27">
      <c r="B27" s="26" t="s">
        <v>12</v>
      </c>
      <c r="C27" s="27">
        <f>FV(D21,5*12,D19*-1)</f>
        <v>16755.3828</v>
      </c>
      <c r="D27" s="28">
        <f>C27*Rendimento_Carteira</f>
        <v>100.5322968</v>
      </c>
    </row>
    <row r="28">
      <c r="B28" s="26" t="s">
        <v>13</v>
      </c>
      <c r="C28" s="27">
        <f>FV(D21,10*12,D19*-1)</f>
        <v>48656.84251</v>
      </c>
      <c r="D28" s="28">
        <f>C28*Rendimento_Carteira</f>
        <v>291.941055</v>
      </c>
    </row>
    <row r="29">
      <c r="B29" s="26" t="s">
        <v>14</v>
      </c>
      <c r="C29" s="27">
        <f>FV(D21,20*12,D19*-1)</f>
        <v>225039.68</v>
      </c>
      <c r="D29" s="28">
        <f>C29*Rendimento_Carteira</f>
        <v>1350.23808</v>
      </c>
    </row>
    <row r="30">
      <c r="B30" s="29" t="s">
        <v>15</v>
      </c>
      <c r="C30" s="30">
        <f>FV(D21,30*12,D19*-1)</f>
        <v>864433.931</v>
      </c>
      <c r="D30" s="31">
        <f>C30*Rendimento_Carteira</f>
        <v>5186.603586</v>
      </c>
    </row>
    <row r="35">
      <c r="B35" s="32" t="s">
        <v>16</v>
      </c>
      <c r="C35" s="32" t="s">
        <v>17</v>
      </c>
      <c r="D35" s="32"/>
    </row>
    <row r="36">
      <c r="B36" s="33" t="s">
        <v>18</v>
      </c>
      <c r="C36" s="34">
        <v>500.0</v>
      </c>
      <c r="D36" s="34"/>
    </row>
    <row r="38">
      <c r="B38" s="35" t="s">
        <v>19</v>
      </c>
      <c r="C38" s="35" t="s">
        <v>20</v>
      </c>
      <c r="D38" s="35" t="s">
        <v>21</v>
      </c>
    </row>
    <row r="39">
      <c r="B39" s="36" t="s">
        <v>22</v>
      </c>
      <c r="C39" s="37">
        <f>VLOOKUP($C35&amp;"-"&amp;B39,Pagina2!$A:$D,4,FALSE())</f>
        <v>0.5</v>
      </c>
      <c r="D39" s="38">
        <f>C39*C36</f>
        <v>250</v>
      </c>
    </row>
    <row r="40">
      <c r="B40" s="36" t="s">
        <v>23</v>
      </c>
      <c r="C40" s="37">
        <f>VLOOKUP($C35&amp;"-"&amp;B40,Pagina2!$A:$D,4,FALSE())</f>
        <v>0.1</v>
      </c>
      <c r="D40" s="38">
        <f>C40*C36</f>
        <v>50</v>
      </c>
    </row>
    <row r="41">
      <c r="B41" s="36" t="s">
        <v>24</v>
      </c>
      <c r="C41" s="37">
        <f>VLOOKUP($C35&amp;"-"&amp;B41,Pagina2!$A:$D,4,FALSE())</f>
        <v>0.05</v>
      </c>
      <c r="D41" s="38">
        <f>C41*C36</f>
        <v>25</v>
      </c>
    </row>
    <row r="42">
      <c r="B42" s="36" t="s">
        <v>25</v>
      </c>
      <c r="C42" s="37">
        <f>VLOOKUP($C35&amp;"-"&amp;B42,Pagina2!$A:$D,4,FALSE())</f>
        <v>0.05</v>
      </c>
      <c r="D42" s="38">
        <f>C42*C36</f>
        <v>25</v>
      </c>
    </row>
    <row r="43">
      <c r="B43" s="36" t="s">
        <v>26</v>
      </c>
      <c r="C43" s="37">
        <f>VLOOKUP($C35&amp;"-"&amp;B43,Pagina2!$A:$D,4,FALSE())</f>
        <v>0.2</v>
      </c>
      <c r="D43" s="38">
        <f>C43*C36</f>
        <v>100</v>
      </c>
    </row>
    <row r="44">
      <c r="B44" s="36" t="s">
        <v>27</v>
      </c>
      <c r="C44" s="37">
        <f>VLOOKUP($C35&amp;"-"&amp;B44,Pagina2!$A:$D,4,FALSE())</f>
        <v>0.1</v>
      </c>
      <c r="D44" s="38">
        <f>C44*C36</f>
        <v>50</v>
      </c>
    </row>
    <row r="45">
      <c r="B45" s="39"/>
      <c r="C45" s="40"/>
      <c r="D45" s="41">
        <f>SUM(D39:D44)</f>
        <v>500</v>
      </c>
    </row>
  </sheetData>
  <mergeCells count="11">
    <mergeCell ref="B21:C21"/>
    <mergeCell ref="B22:C22"/>
    <mergeCell ref="B23:C23"/>
    <mergeCell ref="B25:C25"/>
    <mergeCell ref="B13:D13"/>
    <mergeCell ref="B14:C14"/>
    <mergeCell ref="B15:C15"/>
    <mergeCell ref="B16:C16"/>
    <mergeCell ref="B18:D18"/>
    <mergeCell ref="B19:C19"/>
    <mergeCell ref="B20:C20"/>
  </mergeCells>
  <dataValidations>
    <dataValidation type="list" allowBlank="1" showErrorMessage="1" sqref="C35">
      <formula1>"Conservador,Agressivo,Moderado"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0.88"/>
    <col customWidth="1" min="3" max="3" width="30.75"/>
  </cols>
  <sheetData>
    <row r="2">
      <c r="A2" s="36" t="s">
        <v>28</v>
      </c>
      <c r="B2" s="42" t="s">
        <v>29</v>
      </c>
      <c r="C2" s="42" t="s">
        <v>19</v>
      </c>
      <c r="D2" s="42" t="s">
        <v>30</v>
      </c>
    </row>
    <row r="3">
      <c r="A3" s="37" t="str">
        <f t="shared" ref="A3:A20" si="1">B3&amp;"-"&amp;C3</f>
        <v>Conservador-PAPEL</v>
      </c>
      <c r="B3" s="36" t="s">
        <v>31</v>
      </c>
      <c r="C3" s="36" t="s">
        <v>22</v>
      </c>
      <c r="D3" s="37">
        <v>0.3</v>
      </c>
    </row>
    <row r="4">
      <c r="A4" s="37" t="str">
        <f t="shared" si="1"/>
        <v>Conservador-TIJOLO</v>
      </c>
      <c r="B4" s="36" t="s">
        <v>31</v>
      </c>
      <c r="C4" s="36" t="s">
        <v>23</v>
      </c>
      <c r="D4" s="37">
        <v>0.5</v>
      </c>
    </row>
    <row r="5">
      <c r="A5" s="37" t="str">
        <f t="shared" si="1"/>
        <v>Conservador-HÍBRIDOS</v>
      </c>
      <c r="B5" s="36" t="s">
        <v>31</v>
      </c>
      <c r="C5" s="36" t="s">
        <v>32</v>
      </c>
      <c r="D5" s="37">
        <v>0.1</v>
      </c>
    </row>
    <row r="6">
      <c r="A6" s="37" t="str">
        <f t="shared" si="1"/>
        <v>Conservador-FOFs</v>
      </c>
      <c r="B6" s="36" t="s">
        <v>31</v>
      </c>
      <c r="C6" s="36" t="s">
        <v>25</v>
      </c>
      <c r="D6" s="37">
        <v>0.1</v>
      </c>
      <c r="F6" s="37" t="str">
        <f>B10&amp;"-"&amp;C10</f>
        <v>Moderado-TIJOLO</v>
      </c>
      <c r="G6" s="43">
        <f>VLOOKUP(F6,$A:$D,4,FALSE)</f>
        <v>0.35</v>
      </c>
    </row>
    <row r="7">
      <c r="A7" s="37" t="str">
        <f t="shared" si="1"/>
        <v>Conservador-DESENVOLVIMENTO</v>
      </c>
      <c r="B7" s="36" t="s">
        <v>31</v>
      </c>
      <c r="C7" s="36" t="s">
        <v>26</v>
      </c>
      <c r="D7" s="37">
        <v>0.0</v>
      </c>
    </row>
    <row r="8">
      <c r="A8" s="37" t="str">
        <f t="shared" si="1"/>
        <v>Conservador-HOTELARIAS</v>
      </c>
      <c r="B8" s="44" t="s">
        <v>31</v>
      </c>
      <c r="C8" s="44" t="s">
        <v>27</v>
      </c>
      <c r="D8" s="45">
        <v>0.0</v>
      </c>
    </row>
    <row r="9">
      <c r="A9" s="37" t="str">
        <f t="shared" si="1"/>
        <v>Moderado-PAPEL</v>
      </c>
      <c r="B9" s="46" t="s">
        <v>33</v>
      </c>
      <c r="C9" s="36" t="s">
        <v>22</v>
      </c>
      <c r="D9" s="47">
        <v>0.32</v>
      </c>
    </row>
    <row r="10">
      <c r="A10" s="37" t="str">
        <f t="shared" si="1"/>
        <v>Moderado-TIJOLO</v>
      </c>
      <c r="B10" s="46" t="s">
        <v>33</v>
      </c>
      <c r="C10" s="36" t="s">
        <v>23</v>
      </c>
      <c r="D10" s="37">
        <v>0.35</v>
      </c>
    </row>
    <row r="11">
      <c r="A11" s="37" t="str">
        <f t="shared" si="1"/>
        <v>Moderado-HÍBRIDOS</v>
      </c>
      <c r="B11" s="46" t="s">
        <v>33</v>
      </c>
      <c r="C11" s="36" t="s">
        <v>32</v>
      </c>
      <c r="D11" s="37">
        <v>0.08</v>
      </c>
    </row>
    <row r="12">
      <c r="A12" s="37" t="str">
        <f t="shared" si="1"/>
        <v>Moderado-FOFs</v>
      </c>
      <c r="B12" s="46" t="s">
        <v>33</v>
      </c>
      <c r="C12" s="36" t="s">
        <v>25</v>
      </c>
      <c r="D12" s="37">
        <v>0.05</v>
      </c>
    </row>
    <row r="13">
      <c r="A13" s="37" t="str">
        <f t="shared" si="1"/>
        <v>Moderado-DESENVOLVIMENTO</v>
      </c>
      <c r="B13" s="46" t="s">
        <v>33</v>
      </c>
      <c r="C13" s="36" t="s">
        <v>26</v>
      </c>
      <c r="D13" s="37">
        <v>0.1</v>
      </c>
    </row>
    <row r="14">
      <c r="A14" s="45" t="str">
        <f t="shared" si="1"/>
        <v>Moderado-HOTELARIAS</v>
      </c>
      <c r="B14" s="48" t="s">
        <v>33</v>
      </c>
      <c r="C14" s="44" t="s">
        <v>27</v>
      </c>
      <c r="D14" s="45">
        <v>0.1</v>
      </c>
    </row>
    <row r="15">
      <c r="A15" s="37" t="str">
        <f t="shared" si="1"/>
        <v>Agressivo-PAPEL</v>
      </c>
      <c r="B15" s="36" t="s">
        <v>17</v>
      </c>
      <c r="C15" s="36" t="s">
        <v>22</v>
      </c>
      <c r="D15" s="37">
        <v>0.5</v>
      </c>
    </row>
    <row r="16">
      <c r="A16" s="37" t="str">
        <f t="shared" si="1"/>
        <v>Agressivo-TIJOLO</v>
      </c>
      <c r="B16" s="36" t="s">
        <v>17</v>
      </c>
      <c r="C16" s="36" t="s">
        <v>23</v>
      </c>
      <c r="D16" s="37">
        <v>0.1</v>
      </c>
    </row>
    <row r="17">
      <c r="A17" s="37" t="str">
        <f t="shared" si="1"/>
        <v>Agressivo-HÍBRIDOS</v>
      </c>
      <c r="B17" s="36" t="s">
        <v>17</v>
      </c>
      <c r="C17" s="36" t="s">
        <v>32</v>
      </c>
      <c r="D17" s="37">
        <v>0.05</v>
      </c>
    </row>
    <row r="18">
      <c r="A18" s="37" t="str">
        <f t="shared" si="1"/>
        <v>Agressivo-FOFs</v>
      </c>
      <c r="B18" s="36" t="s">
        <v>17</v>
      </c>
      <c r="C18" s="36" t="s">
        <v>25</v>
      </c>
      <c r="D18" s="37">
        <v>0.05</v>
      </c>
    </row>
    <row r="19">
      <c r="A19" s="37" t="str">
        <f t="shared" si="1"/>
        <v>Agressivo-DESENVOLVIMENTO</v>
      </c>
      <c r="B19" s="36" t="s">
        <v>17</v>
      </c>
      <c r="C19" s="36" t="s">
        <v>26</v>
      </c>
      <c r="D19" s="37">
        <v>0.2</v>
      </c>
    </row>
    <row r="20">
      <c r="A20" s="45" t="str">
        <f t="shared" si="1"/>
        <v>Agressivo-HOTELARIAS</v>
      </c>
      <c r="B20" s="36" t="s">
        <v>17</v>
      </c>
      <c r="C20" s="36" t="s">
        <v>27</v>
      </c>
      <c r="D20" s="37">
        <v>0.1</v>
      </c>
    </row>
  </sheetData>
  <drawing r:id="rId1"/>
</worksheet>
</file>